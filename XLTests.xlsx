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fonline-my.sharepoint.com/personal/pascal-externe_munerot_edf_fr/Documents/IT/outils/XL/"/>
    </mc:Choice>
  </mc:AlternateContent>
  <xr:revisionPtr revIDLastSave="14" documentId="8_{5F6956FB-1363-4E97-AB3D-91AC5000F4D4}" xr6:coauthVersionLast="47" xr6:coauthVersionMax="47" xr10:uidLastSave="{FB143CE4-91E3-4053-9457-ED111F8DA624}"/>
  <bookViews>
    <workbookView xWindow="-110" yWindow="-110" windowWidth="38620" windowHeight="21820" xr2:uid="{2DFE88A4-75A2-4985-B6DE-7547F82FE61B}"/>
  </bookViews>
  <sheets>
    <sheet name="FormCondEtValid" sheetId="1" r:id="rId1"/>
  </sheets>
  <definedNames>
    <definedName name="DATE_JOUR">FormCondEtValid!$B$3</definedName>
    <definedName name="DEBUT_PROJ">FormCondEtValid!$B$2</definedName>
    <definedName name="EST_PAIR2">_xlfn.LAMBDA(_xlpm.VAL,MOD(_xlpm.VAL,2)=0)</definedName>
    <definedName name="FIN_PROJ">FormCondEtValid!$C$2</definedName>
    <definedName name="VALID_ABC">FormCondEtValid!$F$3:$F$5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7" i="1" l="1"/>
  <c r="E38" i="1"/>
  <c r="E39" i="1"/>
  <c r="E40" i="1"/>
  <c r="E41" i="1"/>
  <c r="E42" i="1"/>
  <c r="E43" i="1"/>
  <c r="E44" i="1"/>
  <c r="E45" i="1"/>
  <c r="E4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C8" i="1"/>
  <c r="B9" i="1"/>
  <c r="B10" i="1" s="1"/>
  <c r="B3" i="1"/>
  <c r="F8" i="1" s="1"/>
  <c r="I8" i="1" s="1" a="1"/>
  <c r="I8" i="1" s="1"/>
  <c r="C9" i="1" l="1"/>
  <c r="F47" i="1"/>
  <c r="I47" i="1" s="1" a="1"/>
  <c r="I47" i="1" s="1"/>
  <c r="F43" i="1"/>
  <c r="I43" i="1" s="1" a="1"/>
  <c r="I43" i="1" s="1"/>
  <c r="F42" i="1"/>
  <c r="I42" i="1" s="1" a="1"/>
  <c r="I42" i="1" s="1"/>
  <c r="F39" i="1"/>
  <c r="I39" i="1" s="1" a="1"/>
  <c r="I39" i="1" s="1"/>
  <c r="F44" i="1"/>
  <c r="I44" i="1" s="1" a="1"/>
  <c r="I44" i="1" s="1"/>
  <c r="F41" i="1"/>
  <c r="I41" i="1" s="1" a="1"/>
  <c r="I41" i="1" s="1"/>
  <c r="F40" i="1"/>
  <c r="I40" i="1" s="1" a="1"/>
  <c r="I40" i="1" s="1"/>
  <c r="F38" i="1"/>
  <c r="I38" i="1" s="1" a="1"/>
  <c r="I38" i="1" s="1"/>
  <c r="F46" i="1"/>
  <c r="I46" i="1" s="1" a="1"/>
  <c r="I46" i="1" s="1"/>
  <c r="F45" i="1"/>
  <c r="I45" i="1" s="1" a="1"/>
  <c r="I45" i="1" s="1"/>
  <c r="B11" i="1"/>
  <c r="C10" i="1"/>
  <c r="F30" i="1"/>
  <c r="I30" i="1" s="1" a="1"/>
  <c r="I30" i="1" s="1"/>
  <c r="F15" i="1"/>
  <c r="I15" i="1" s="1" a="1"/>
  <c r="I15" i="1" s="1"/>
  <c r="F27" i="1"/>
  <c r="I27" i="1" s="1" a="1"/>
  <c r="I27" i="1" s="1"/>
  <c r="F26" i="1"/>
  <c r="I26" i="1" s="1" a="1"/>
  <c r="I26" i="1" s="1"/>
  <c r="F10" i="1"/>
  <c r="I10" i="1" s="1" a="1"/>
  <c r="I10" i="1" s="1"/>
  <c r="F31" i="1"/>
  <c r="I31" i="1" s="1" a="1"/>
  <c r="I31" i="1" s="1"/>
  <c r="F28" i="1"/>
  <c r="I28" i="1" s="1" a="1"/>
  <c r="I28" i="1" s="1"/>
  <c r="F9" i="1"/>
  <c r="F19" i="1"/>
  <c r="I19" i="1" s="1" a="1"/>
  <c r="I19" i="1" s="1"/>
  <c r="F18" i="1"/>
  <c r="I18" i="1" s="1" a="1"/>
  <c r="I18" i="1" s="1"/>
  <c r="F29" i="1"/>
  <c r="I29" i="1" s="1" a="1"/>
  <c r="I29" i="1" s="1"/>
  <c r="F17" i="1"/>
  <c r="I17" i="1" s="1" a="1"/>
  <c r="I17" i="1" s="1"/>
  <c r="F16" i="1"/>
  <c r="I16" i="1" s="1" a="1"/>
  <c r="I16" i="1" s="1"/>
  <c r="F14" i="1"/>
  <c r="I14" i="1" s="1" a="1"/>
  <c r="I14" i="1" s="1"/>
  <c r="F37" i="1"/>
  <c r="I37" i="1" s="1" a="1"/>
  <c r="I37" i="1" s="1"/>
  <c r="F25" i="1"/>
  <c r="I25" i="1" s="1" a="1"/>
  <c r="I25" i="1" s="1"/>
  <c r="F13" i="1"/>
  <c r="I13" i="1" s="1" a="1"/>
  <c r="I13" i="1" s="1"/>
  <c r="F36" i="1"/>
  <c r="I36" i="1" s="1" a="1"/>
  <c r="I36" i="1" s="1"/>
  <c r="F24" i="1"/>
  <c r="I24" i="1" s="1" a="1"/>
  <c r="I24" i="1" s="1"/>
  <c r="F12" i="1"/>
  <c r="I12" i="1" s="1" a="1"/>
  <c r="I12" i="1" s="1"/>
  <c r="F35" i="1"/>
  <c r="I35" i="1" s="1" a="1"/>
  <c r="I35" i="1" s="1"/>
  <c r="F23" i="1"/>
  <c r="I23" i="1" s="1" a="1"/>
  <c r="I23" i="1" s="1"/>
  <c r="F11" i="1"/>
  <c r="I11" i="1" s="1" a="1"/>
  <c r="I11" i="1" s="1"/>
  <c r="F34" i="1"/>
  <c r="I34" i="1" s="1" a="1"/>
  <c r="I34" i="1" s="1"/>
  <c r="F22" i="1"/>
  <c r="I22" i="1" s="1" a="1"/>
  <c r="I22" i="1" s="1"/>
  <c r="F33" i="1"/>
  <c r="I33" i="1" s="1" a="1"/>
  <c r="I33" i="1" s="1"/>
  <c r="F21" i="1"/>
  <c r="I21" i="1" s="1" a="1"/>
  <c r="I21" i="1" s="1"/>
  <c r="F32" i="1"/>
  <c r="I32" i="1" s="1" a="1"/>
  <c r="I32" i="1" s="1"/>
  <c r="F20" i="1"/>
  <c r="I20" i="1" s="1" a="1"/>
  <c r="I20" i="1" s="1"/>
  <c r="I9" i="1" l="1" a="1"/>
  <c r="I9" i="1" s="1"/>
  <c r="B12" i="1"/>
  <c r="C11" i="1"/>
  <c r="B13" i="1" l="1"/>
  <c r="C12" i="1"/>
  <c r="B14" i="1" l="1"/>
  <c r="C13" i="1"/>
  <c r="B15" i="1" l="1"/>
  <c r="C14" i="1"/>
  <c r="B16" i="1" l="1"/>
  <c r="C15" i="1"/>
  <c r="B17" i="1" l="1"/>
  <c r="C16" i="1"/>
  <c r="B18" i="1" l="1"/>
  <c r="C17" i="1"/>
  <c r="B19" i="1" l="1"/>
  <c r="C18" i="1"/>
  <c r="B20" i="1" l="1"/>
  <c r="C19" i="1"/>
  <c r="B21" i="1" l="1"/>
  <c r="C20" i="1"/>
  <c r="B22" i="1" l="1"/>
  <c r="C21" i="1"/>
  <c r="B23" i="1" l="1"/>
  <c r="C22" i="1"/>
  <c r="B24" i="1" l="1"/>
  <c r="C23" i="1"/>
  <c r="B25" i="1" l="1"/>
  <c r="C24" i="1"/>
  <c r="B26" i="1" l="1"/>
  <c r="C25" i="1"/>
  <c r="B27" i="1" l="1"/>
  <c r="C26" i="1"/>
  <c r="B28" i="1" l="1"/>
  <c r="C27" i="1"/>
  <c r="B29" i="1" l="1"/>
  <c r="C28" i="1"/>
  <c r="B30" i="1" l="1"/>
  <c r="C29" i="1"/>
  <c r="B31" i="1" l="1"/>
  <c r="C30" i="1"/>
  <c r="B32" i="1" l="1"/>
  <c r="C31" i="1"/>
  <c r="B33" i="1" l="1"/>
  <c r="C32" i="1"/>
  <c r="B34" i="1" l="1"/>
  <c r="C33" i="1"/>
  <c r="B35" i="1" l="1"/>
  <c r="C34" i="1"/>
  <c r="B36" i="1" l="1"/>
  <c r="B37" i="1" s="1"/>
  <c r="B38" i="1" s="1"/>
  <c r="C35" i="1"/>
  <c r="B39" i="1" l="1"/>
  <c r="C38" i="1"/>
  <c r="C37" i="1"/>
  <c r="C36" i="1"/>
  <c r="B40" i="1" l="1"/>
  <c r="C39" i="1"/>
  <c r="B41" i="1" l="1"/>
  <c r="C40" i="1"/>
  <c r="B42" i="1" l="1"/>
  <c r="C41" i="1"/>
  <c r="B43" i="1" l="1"/>
  <c r="C42" i="1"/>
  <c r="B44" i="1" l="1"/>
  <c r="C43" i="1"/>
  <c r="B45" i="1" l="1"/>
  <c r="C44" i="1"/>
  <c r="B46" i="1" l="1"/>
  <c r="C45" i="1"/>
  <c r="B47" i="1" l="1"/>
  <c r="C47" i="1" s="1"/>
  <c r="C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tc={0341CEB3-8A7F-4BFC-B05D-287DA618440C}</author>
  </authors>
  <commentList>
    <comment ref="H7" authorId="0" shapeId="0" xr:uid="{0341CEB3-8A7F-4BFC-B05D-287DA618440C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Ne marche pas avec une invocation directe de la lambda depuis la formule dans le dialogue de validation et les expressions lambda ne sont pas acceptées dans ce dialogue.
Essayé:
=LAMBDA(X;MOD(X;2)=0) =&gt; EST_PAIR2 dans le gestionnaire de noms
On peut invoquer une lambda mais cela n’a pas l’effet escompté.
On peut tenter:
=MOD(;2)=0 mais ça ne fonctionne pas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58FC1E-D871-49FB-98FF-40C8A552EAE3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<sst xmlns="http://schemas.openxmlformats.org/spreadsheetml/2006/main" count="61" uniqueCount="17">
  <si>
    <t>NbJours</t>
  </si>
  <si>
    <t>Description</t>
  </si>
  <si>
    <t>A</t>
  </si>
  <si>
    <t>B</t>
  </si>
  <si>
    <t>C</t>
  </si>
  <si>
    <t>Tâche</t>
  </si>
  <si>
    <t>Échéance</t>
  </si>
  <si>
    <t>NbJoursRest</t>
  </si>
  <si>
    <t>Enum</t>
  </si>
  <si>
    <t>Somme</t>
  </si>
  <si>
    <t>Moyenne</t>
  </si>
  <si>
    <t>Résultat cumulé</t>
  </si>
  <si>
    <t>Nombre</t>
  </si>
  <si>
    <t>EnumTabRef</t>
  </si>
  <si>
    <t>EstPair2_Lambda</t>
  </si>
  <si>
    <t>KO</t>
  </si>
  <si>
    <t>EnumForm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</si>
</sst>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1" fontId="0" fillId="0" borderId="0" xfId="0" applyNumberFormat="1"/>
    <xf numFmtId="0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7">
    <dxf>
      <fill>
        <patternFill patternType="gray0625">
          <bgColor rgb="FFC00000"/>
        </patternFill>
      </fill>
    </dxf>
    <dxf>
      <font>
        <b/>
        <i val="0"/>
        <strike val="0"/>
        <color theme="4" tint="0.39994506668294322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NEROT Pascal - externe" id="{CD157398-1317-489D-AB41-DBC4D9286854}" userId="S::pascal-externe.munerot@edf.fr::9846cf00-8f81-42ed-b7ad-0ccac9f02f5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77EEF-E8EB-4D8F-892A-6043880B8583}" name="TAB_TACHES" displayName="TAB_TACHES" ref="B7:I47" totalsRowShown="0">
  <autoFilter ref="B7:I47" xr:uid="{95677EEF-E8EB-4D8F-892A-6043880B8583}"/>
  <tableColumns count="8">
    <tableColumn id="3" xr3:uid="{D7F39565-2AA8-4EDA-92B1-D7AEE619466A}" name="Tâche"/>
    <tableColumn id="4" xr3:uid="{2226A759-FC45-4803-BD1B-795723907E33}" name="Description" dataDxfId="6">
      <calculatedColumnFormula>"Tâche " &amp; TAB_TACHES[[#This Row],[Tâche]]</calculatedColumnFormula>
    </tableColumn>
    <tableColumn id="1" xr3:uid="{B55AF41B-ACF9-47EA-A0D1-517C9F35D626}" name="NbJours"/>
    <tableColumn id="2" xr3:uid="{FBB893C2-C582-46E1-A2CB-6602FBC7BCFA}" name="Échéance" dataDxfId="5">
      <calculatedColumnFormula>DEBUT_PROJ+TAB_TACHES[[#This Row],[NbJours]]</calculatedColumnFormula>
    </tableColumn>
    <tableColumn id="5" xr3:uid="{8DECBA59-77D6-4750-A84D-CE21AD87C10E}" name="NbJoursRest" dataDxfId="4">
      <calculatedColumnFormula>TAB_TACHES[[#This Row],[Échéance]]-DATE_JOUR</calculatedColumnFormula>
    </tableColumn>
    <tableColumn id="7" xr3:uid="{BAE3371D-EFA2-4952-8031-4162F7DF78FB}" name="EnumTabRef" dataDxfId="3"/>
    <tableColumn id="8" xr3:uid="{C08966DB-ED2C-4276-B3C8-A2F941695245}" name="EnumForm"/>
    <tableColumn id="9" xr3:uid="{6F566E0C-B657-4DE9-9A9F-A25C92DF13B1}" name="EstPair2_Lambda" dataDxfId="2">
      <calculatedColumnFormula array="1">EST_PAIR2(TAB_TACHES[[#This Row],[NbJoursRest]])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7" dT="2026-10-09T14:38:33.34" personId="{CD157398-1317-489D-AB41-DBC4D9286854}" id="{0341CEB3-8A7F-4BFC-B05D-287DA618440C}">
    <text xml:space="preserve">Ne marche pas avec une invocation directe de la lambda depuis la formule dans le dialogue de validation et les expressions lambda ne sont pas acceptées dans ce dialogue.
Essayé:
=LAMBDA(X;MOD(X;2)=0) =&gt; EST_PAIR2 dans le gestionnaire de noms
On peut invoquer une lambda mais cela n’a pas l’effet escompté.
On peut tenter:
=MOD(;2)=0 mais ça ne fonctionne pas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263F-37C7-4BE4-9A14-359424045B99}">
  <dimension ref="B2:I47"/>
  <sheetViews>
    <sheetView tabSelected="1" zoomScale="145" zoomScaleNormal="145" workbookViewId="0">
      <selection activeCell="H9" sqref="H9"/>
    </sheetView>
  </sheetViews>
  <sheetFormatPr baseColWidth="10" defaultRowHeight="14.5" x14ac:dyDescent="0.35"/>
  <cols>
    <col min="6" max="6" width="13.453125" bestFit="1" customWidth="1"/>
    <col min="7" max="7" width="13.7265625" bestFit="1" customWidth="1"/>
    <col min="8" max="8" width="12.1796875" bestFit="1" customWidth="1"/>
    <col min="9" max="9" width="17.453125" bestFit="1" customWidth="1"/>
  </cols>
  <sheetData>
    <row r="2" spans="2:9" x14ac:dyDescent="0.35">
      <c r="B2" s="3">
        <v>46266</v>
      </c>
      <c r="C2" s="2">
        <v>46752</v>
      </c>
    </row>
    <row r="3" spans="2:9" x14ac:dyDescent="0.35">
      <c r="B3" s="2">
        <f ca="1">TODAY()</f>
        <v>46304</v>
      </c>
      <c r="C3" s="2"/>
      <c r="F3" t="s">
        <v>2</v>
      </c>
      <c r="G3" s="6"/>
    </row>
    <row r="4" spans="2:9" x14ac:dyDescent="0.35">
      <c r="F4" t="s">
        <v>3</v>
      </c>
      <c r="G4" s="6"/>
    </row>
    <row r="5" spans="2:9" x14ac:dyDescent="0.35">
      <c r="F5" t="s">
        <v>4</v>
      </c>
      <c r="G5" s="6"/>
      <c r="H5" s="7" t="s">
        <v>15</v>
      </c>
    </row>
    <row r="6" spans="2:9" x14ac:dyDescent="0.35">
      <c r="G6" s="6"/>
      <c r="H6" s="7"/>
    </row>
    <row r="7" spans="2:9" x14ac:dyDescent="0.35">
      <c r="B7" t="s">
        <v>5</v>
      </c>
      <c r="C7" t="s">
        <v>1</v>
      </c>
      <c r="D7" t="s">
        <v>0</v>
      </c>
      <c r="E7" s="2" t="s">
        <v>6</v>
      </c>
      <c r="F7" t="s">
        <v>7</v>
      </c>
      <c r="G7" t="s">
        <v>13</v>
      </c>
      <c r="H7" t="s">
        <v>16</v>
      </c>
      <c r="I7" t="s">
        <v>14</v>
      </c>
    </row>
    <row r="8" spans="2:9" x14ac:dyDescent="0.35">
      <c r="B8">
        <v>1</v>
      </c>
      <c r="C8" t="str">
        <f>"Tâche " &amp; TAB_TACHES[[#This Row],[Tâche]]</f>
        <v>Tâche 1</v>
      </c>
      <c r="D8">
        <v>187</v>
      </c>
      <c r="E8" s="2">
        <f>DEBUT_PROJ+TAB_TACHES[[#This Row],[NbJours]]</f>
        <v>46453</v>
      </c>
      <c r="F8" s="4">
        <f ca="1">TAB_TACHES[[#This Row],[Échéance]]-DATE_JOUR</f>
        <v>149</v>
      </c>
      <c r="G8" s="5" t="s">
        <v>2</v>
      </c>
      <c r="H8">
        <v>2</v>
      </c>
      <c r="I8" t="b" cm="1">
        <f t="array" aca="1" ref="I8" ca="1">EST_PAIR2(TAB_TACHES[[#This Row],[NbJoursRest]])</f>
        <v>0</v>
      </c>
    </row>
    <row r="9" spans="2:9" x14ac:dyDescent="0.35">
      <c r="B9">
        <f>B8+1</f>
        <v>2</v>
      </c>
      <c r="C9" t="str">
        <f>"Tâche " &amp; TAB_TACHES[[#This Row],[Tâche]]</f>
        <v>Tâche 2</v>
      </c>
      <c r="D9">
        <v>249</v>
      </c>
      <c r="E9" s="2">
        <f>DEBUT_PROJ+TAB_TACHES[[#This Row],[NbJours]]</f>
        <v>46515</v>
      </c>
      <c r="F9" s="4">
        <f ca="1">TAB_TACHES[[#This Row],[Échéance]]-DATE_JOUR</f>
        <v>211</v>
      </c>
      <c r="G9" s="5" t="s">
        <v>2</v>
      </c>
      <c r="H9">
        <v>4</v>
      </c>
      <c r="I9" t="b" cm="1">
        <f t="array" aca="1" ref="I9" ca="1">EST_PAIR2(TAB_TACHES[[#This Row],[NbJoursRest]])</f>
        <v>0</v>
      </c>
    </row>
    <row r="10" spans="2:9" x14ac:dyDescent="0.35">
      <c r="B10">
        <f t="shared" ref="B10:B47" si="0">B9+1</f>
        <v>3</v>
      </c>
      <c r="C10" t="str">
        <f>"Tâche " &amp; TAB_TACHES[[#This Row],[Tâche]]</f>
        <v>Tâche 3</v>
      </c>
      <c r="D10">
        <v>134</v>
      </c>
      <c r="E10" s="2">
        <f>DEBUT_PROJ+TAB_TACHES[[#This Row],[NbJours]]</f>
        <v>46400</v>
      </c>
      <c r="F10" s="4">
        <f ca="1">TAB_TACHES[[#This Row],[Échéance]]-DATE_JOUR</f>
        <v>96</v>
      </c>
      <c r="G10" s="5" t="s">
        <v>4</v>
      </c>
      <c r="H10">
        <v>2</v>
      </c>
      <c r="I10" t="b" cm="1">
        <f t="array" aca="1" ref="I10" ca="1">EST_PAIR2(TAB_TACHES[[#This Row],[NbJoursRest]])</f>
        <v>1</v>
      </c>
    </row>
    <row r="11" spans="2:9" x14ac:dyDescent="0.35">
      <c r="B11">
        <f t="shared" si="0"/>
        <v>4</v>
      </c>
      <c r="C11" t="str">
        <f>"Tâche " &amp; TAB_TACHES[[#This Row],[Tâche]]</f>
        <v>Tâche 4</v>
      </c>
      <c r="D11">
        <v>191</v>
      </c>
      <c r="E11" s="2">
        <f>DEBUT_PROJ+TAB_TACHES[[#This Row],[NbJours]]</f>
        <v>46457</v>
      </c>
      <c r="F11" s="4">
        <f ca="1">TAB_TACHES[[#This Row],[Échéance]]-DATE_JOUR</f>
        <v>153</v>
      </c>
      <c r="G11" s="5" t="s">
        <v>3</v>
      </c>
      <c r="H11">
        <v>7</v>
      </c>
      <c r="I11" t="b" cm="1">
        <f t="array" aca="1" ref="I11" ca="1">EST_PAIR2(TAB_TACHES[[#This Row],[NbJoursRest]])</f>
        <v>0</v>
      </c>
    </row>
    <row r="12" spans="2:9" x14ac:dyDescent="0.35">
      <c r="B12">
        <f t="shared" si="0"/>
        <v>5</v>
      </c>
      <c r="C12" t="str">
        <f>"Tâche " &amp; TAB_TACHES[[#This Row],[Tâche]]</f>
        <v>Tâche 5</v>
      </c>
      <c r="D12">
        <v>76</v>
      </c>
      <c r="E12" s="2">
        <f>DEBUT_PROJ+TAB_TACHES[[#This Row],[NbJours]]</f>
        <v>46342</v>
      </c>
      <c r="F12" s="4">
        <f ca="1">TAB_TACHES[[#This Row],[Échéance]]-DATE_JOUR</f>
        <v>38</v>
      </c>
      <c r="G12" s="5" t="s">
        <v>2</v>
      </c>
      <c r="H12">
        <v>1</v>
      </c>
      <c r="I12" t="b" cm="1">
        <f t="array" aca="1" ref="I12" ca="1">EST_PAIR2(TAB_TACHES[[#This Row],[NbJoursRest]])</f>
        <v>1</v>
      </c>
    </row>
    <row r="13" spans="2:9" x14ac:dyDescent="0.35">
      <c r="B13">
        <f t="shared" si="0"/>
        <v>6</v>
      </c>
      <c r="C13" t="str">
        <f>"Tâche " &amp; TAB_TACHES[[#This Row],[Tâche]]</f>
        <v>Tâche 6</v>
      </c>
      <c r="D13">
        <v>69</v>
      </c>
      <c r="E13" s="2">
        <f>DEBUT_PROJ+TAB_TACHES[[#This Row],[NbJours]]</f>
        <v>46335</v>
      </c>
      <c r="F13" s="4">
        <f ca="1">TAB_TACHES[[#This Row],[Échéance]]-DATE_JOUR</f>
        <v>31</v>
      </c>
      <c r="G13" s="5" t="s">
        <v>3</v>
      </c>
      <c r="H13">
        <v>1</v>
      </c>
      <c r="I13" t="b" cm="1">
        <f t="array" aca="1" ref="I13" ca="1">EST_PAIR2(TAB_TACHES[[#This Row],[NbJoursRest]])</f>
        <v>0</v>
      </c>
    </row>
    <row r="14" spans="2:9" x14ac:dyDescent="0.35">
      <c r="B14">
        <f t="shared" si="0"/>
        <v>7</v>
      </c>
      <c r="C14" t="str">
        <f>"Tâche " &amp; TAB_TACHES[[#This Row],[Tâche]]</f>
        <v>Tâche 7</v>
      </c>
      <c r="D14">
        <v>34</v>
      </c>
      <c r="E14" s="2">
        <f>DEBUT_PROJ+TAB_TACHES[[#This Row],[NbJours]]</f>
        <v>46300</v>
      </c>
      <c r="F14" s="4">
        <f ca="1">TAB_TACHES[[#This Row],[Échéance]]-DATE_JOUR</f>
        <v>-4</v>
      </c>
      <c r="G14" s="5" t="s">
        <v>2</v>
      </c>
      <c r="H14">
        <v>1</v>
      </c>
      <c r="I14" t="b" cm="1">
        <f t="array" aca="1" ref="I14" ca="1">EST_PAIR2(TAB_TACHES[[#This Row],[NbJoursRest]])</f>
        <v>1</v>
      </c>
    </row>
    <row r="15" spans="2:9" x14ac:dyDescent="0.35">
      <c r="B15">
        <f t="shared" si="0"/>
        <v>8</v>
      </c>
      <c r="C15" t="str">
        <f>"Tâche " &amp; TAB_TACHES[[#This Row],[Tâche]]</f>
        <v>Tâche 8</v>
      </c>
      <c r="D15">
        <v>6</v>
      </c>
      <c r="E15" s="2">
        <f>DEBUT_PROJ+TAB_TACHES[[#This Row],[NbJours]]</f>
        <v>46272</v>
      </c>
      <c r="F15" s="4">
        <f ca="1">TAB_TACHES[[#This Row],[Échéance]]-DATE_JOUR</f>
        <v>-32</v>
      </c>
      <c r="G15" s="5" t="s">
        <v>4</v>
      </c>
      <c r="H15">
        <v>1</v>
      </c>
      <c r="I15" t="b" cm="1">
        <f t="array" aca="1" ref="I15" ca="1">EST_PAIR2(TAB_TACHES[[#This Row],[NbJoursRest]])</f>
        <v>1</v>
      </c>
    </row>
    <row r="16" spans="2:9" x14ac:dyDescent="0.35">
      <c r="B16">
        <f t="shared" si="0"/>
        <v>9</v>
      </c>
      <c r="C16" t="str">
        <f>"Tâche " &amp; TAB_TACHES[[#This Row],[Tâche]]</f>
        <v>Tâche 9</v>
      </c>
      <c r="D16">
        <v>17</v>
      </c>
      <c r="E16" s="2">
        <f>DEBUT_PROJ+TAB_TACHES[[#This Row],[NbJours]]</f>
        <v>46283</v>
      </c>
      <c r="F16" s="4">
        <f ca="1">TAB_TACHES[[#This Row],[Échéance]]-DATE_JOUR</f>
        <v>-21</v>
      </c>
      <c r="G16" s="5" t="s">
        <v>2</v>
      </c>
      <c r="H16">
        <v>2</v>
      </c>
      <c r="I16" t="b" cm="1">
        <f t="array" aca="1" ref="I16" ca="1">EST_PAIR2(TAB_TACHES[[#This Row],[NbJoursRest]])</f>
        <v>0</v>
      </c>
    </row>
    <row r="17" spans="2:9" x14ac:dyDescent="0.35">
      <c r="B17">
        <f t="shared" si="0"/>
        <v>10</v>
      </c>
      <c r="C17" t="str">
        <f>"Tâche " &amp; TAB_TACHES[[#This Row],[Tâche]]</f>
        <v>Tâche 10</v>
      </c>
      <c r="D17">
        <v>109</v>
      </c>
      <c r="E17" s="2">
        <f>DEBUT_PROJ+TAB_TACHES[[#This Row],[NbJours]]</f>
        <v>46375</v>
      </c>
      <c r="F17" s="4">
        <f ca="1">TAB_TACHES[[#This Row],[Échéance]]-DATE_JOUR</f>
        <v>71</v>
      </c>
      <c r="G17" s="5" t="s">
        <v>2</v>
      </c>
      <c r="H17">
        <v>1</v>
      </c>
      <c r="I17" t="b" cm="1">
        <f t="array" aca="1" ref="I17" ca="1">EST_PAIR2(TAB_TACHES[[#This Row],[NbJoursRest]])</f>
        <v>0</v>
      </c>
    </row>
    <row r="18" spans="2:9" x14ac:dyDescent="0.35">
      <c r="B18">
        <f t="shared" si="0"/>
        <v>11</v>
      </c>
      <c r="C18" t="str">
        <f>"Tâche " &amp; TAB_TACHES[[#This Row],[Tâche]]</f>
        <v>Tâche 11</v>
      </c>
      <c r="D18">
        <v>130</v>
      </c>
      <c r="E18" s="2">
        <f>DEBUT_PROJ+TAB_TACHES[[#This Row],[NbJours]]</f>
        <v>46396</v>
      </c>
      <c r="F18" s="4">
        <f ca="1">TAB_TACHES[[#This Row],[Échéance]]-DATE_JOUR</f>
        <v>92</v>
      </c>
      <c r="G18" s="5" t="s">
        <v>3</v>
      </c>
      <c r="H18">
        <v>1</v>
      </c>
      <c r="I18" t="b" cm="1">
        <f t="array" aca="1" ref="I18" ca="1">EST_PAIR2(TAB_TACHES[[#This Row],[NbJoursRest]])</f>
        <v>1</v>
      </c>
    </row>
    <row r="19" spans="2:9" x14ac:dyDescent="0.35">
      <c r="B19">
        <f t="shared" si="0"/>
        <v>12</v>
      </c>
      <c r="C19" t="str">
        <f>"Tâche " &amp; TAB_TACHES[[#This Row],[Tâche]]</f>
        <v>Tâche 12</v>
      </c>
      <c r="D19">
        <v>45</v>
      </c>
      <c r="E19" s="2">
        <f>DEBUT_PROJ+TAB_TACHES[[#This Row],[NbJours]]</f>
        <v>46311</v>
      </c>
      <c r="F19" s="4">
        <f ca="1">TAB_TACHES[[#This Row],[Échéance]]-DATE_JOUR</f>
        <v>7</v>
      </c>
      <c r="G19" s="5" t="s">
        <v>4</v>
      </c>
      <c r="H19">
        <v>1</v>
      </c>
      <c r="I19" t="b" cm="1">
        <f t="array" aca="1" ref="I19" ca="1">EST_PAIR2(TAB_TACHES[[#This Row],[NbJoursRest]])</f>
        <v>0</v>
      </c>
    </row>
    <row r="20" spans="2:9" x14ac:dyDescent="0.35">
      <c r="B20">
        <f t="shared" si="0"/>
        <v>13</v>
      </c>
      <c r="C20" t="str">
        <f>"Tâche " &amp; TAB_TACHES[[#This Row],[Tâche]]</f>
        <v>Tâche 13</v>
      </c>
      <c r="D20">
        <v>122</v>
      </c>
      <c r="E20" s="2">
        <f>DEBUT_PROJ+TAB_TACHES[[#This Row],[NbJours]]</f>
        <v>46388</v>
      </c>
      <c r="F20" s="4">
        <f ca="1">TAB_TACHES[[#This Row],[Échéance]]-DATE_JOUR</f>
        <v>84</v>
      </c>
      <c r="G20" s="5" t="s">
        <v>2</v>
      </c>
      <c r="H20">
        <v>1</v>
      </c>
      <c r="I20" t="b" cm="1">
        <f t="array" aca="1" ref="I20" ca="1">EST_PAIR2(TAB_TACHES[[#This Row],[NbJoursRest]])</f>
        <v>1</v>
      </c>
    </row>
    <row r="21" spans="2:9" x14ac:dyDescent="0.35">
      <c r="B21">
        <f t="shared" si="0"/>
        <v>14</v>
      </c>
      <c r="C21" t="str">
        <f>"Tâche " &amp; TAB_TACHES[[#This Row],[Tâche]]</f>
        <v>Tâche 14</v>
      </c>
      <c r="D21">
        <v>41</v>
      </c>
      <c r="E21" s="2">
        <f>DEBUT_PROJ+TAB_TACHES[[#This Row],[NbJours]]</f>
        <v>46307</v>
      </c>
      <c r="F21" s="4">
        <f ca="1">TAB_TACHES[[#This Row],[Échéance]]-DATE_JOUR</f>
        <v>3</v>
      </c>
      <c r="G21" s="5" t="s">
        <v>3</v>
      </c>
      <c r="H21">
        <v>1</v>
      </c>
      <c r="I21" t="b" cm="1">
        <f t="array" aca="1" ref="I21" ca="1">EST_PAIR2(TAB_TACHES[[#This Row],[NbJoursRest]])</f>
        <v>0</v>
      </c>
    </row>
    <row r="22" spans="2:9" x14ac:dyDescent="0.35">
      <c r="B22">
        <f t="shared" si="0"/>
        <v>15</v>
      </c>
      <c r="C22" t="str">
        <f>"Tâche " &amp; TAB_TACHES[[#This Row],[Tâche]]</f>
        <v>Tâche 15</v>
      </c>
      <c r="D22">
        <v>42</v>
      </c>
      <c r="E22" s="2">
        <f>DEBUT_PROJ+TAB_TACHES[[#This Row],[NbJours]]</f>
        <v>46308</v>
      </c>
      <c r="F22" s="4">
        <f ca="1">TAB_TACHES[[#This Row],[Échéance]]-DATE_JOUR</f>
        <v>4</v>
      </c>
      <c r="G22" s="5" t="s">
        <v>4</v>
      </c>
      <c r="H22">
        <v>2</v>
      </c>
      <c r="I22" t="b" cm="1">
        <f t="array" aca="1" ref="I22" ca="1">EST_PAIR2(TAB_TACHES[[#This Row],[NbJoursRest]])</f>
        <v>1</v>
      </c>
    </row>
    <row r="23" spans="2:9" x14ac:dyDescent="0.35">
      <c r="B23">
        <f t="shared" si="0"/>
        <v>16</v>
      </c>
      <c r="C23" t="str">
        <f>"Tâche " &amp; TAB_TACHES[[#This Row],[Tâche]]</f>
        <v>Tâche 16</v>
      </c>
      <c r="D23">
        <v>133</v>
      </c>
      <c r="E23" s="2">
        <f>DEBUT_PROJ+TAB_TACHES[[#This Row],[NbJours]]</f>
        <v>46399</v>
      </c>
      <c r="F23" s="4">
        <f ca="1">TAB_TACHES[[#This Row],[Échéance]]-DATE_JOUR</f>
        <v>95</v>
      </c>
      <c r="G23" s="5" t="s">
        <v>4</v>
      </c>
      <c r="H23">
        <v>3</v>
      </c>
      <c r="I23" t="b" cm="1">
        <f t="array" aca="1" ref="I23" ca="1">EST_PAIR2(TAB_TACHES[[#This Row],[NbJoursRest]])</f>
        <v>0</v>
      </c>
    </row>
    <row r="24" spans="2:9" x14ac:dyDescent="0.35">
      <c r="B24">
        <f t="shared" si="0"/>
        <v>17</v>
      </c>
      <c r="C24" t="str">
        <f>"Tâche " &amp; TAB_TACHES[[#This Row],[Tâche]]</f>
        <v>Tâche 17</v>
      </c>
      <c r="D24">
        <v>133</v>
      </c>
      <c r="E24" s="2">
        <f>DEBUT_PROJ+TAB_TACHES[[#This Row],[NbJours]]</f>
        <v>46399</v>
      </c>
      <c r="F24" s="4">
        <f ca="1">TAB_TACHES[[#This Row],[Échéance]]-DATE_JOUR</f>
        <v>95</v>
      </c>
      <c r="G24" s="5" t="s">
        <v>2</v>
      </c>
      <c r="H24">
        <v>1</v>
      </c>
      <c r="I24" t="b" cm="1">
        <f t="array" aca="1" ref="I24" ca="1">EST_PAIR2(TAB_TACHES[[#This Row],[NbJoursRest]])</f>
        <v>0</v>
      </c>
    </row>
    <row r="25" spans="2:9" x14ac:dyDescent="0.35">
      <c r="B25">
        <f t="shared" si="0"/>
        <v>18</v>
      </c>
      <c r="C25" t="str">
        <f>"Tâche " &amp; TAB_TACHES[[#This Row],[Tâche]]</f>
        <v>Tâche 18</v>
      </c>
      <c r="D25">
        <v>77</v>
      </c>
      <c r="E25" s="2">
        <f>DEBUT_PROJ+TAB_TACHES[[#This Row],[NbJours]]</f>
        <v>46343</v>
      </c>
      <c r="F25" s="4">
        <f ca="1">TAB_TACHES[[#This Row],[Échéance]]-DATE_JOUR</f>
        <v>39</v>
      </c>
      <c r="G25" s="5" t="s">
        <v>2</v>
      </c>
      <c r="H25">
        <v>4</v>
      </c>
      <c r="I25" t="b" cm="1">
        <f t="array" aca="1" ref="I25" ca="1">EST_PAIR2(TAB_TACHES[[#This Row],[NbJoursRest]])</f>
        <v>0</v>
      </c>
    </row>
    <row r="26" spans="2:9" x14ac:dyDescent="0.35">
      <c r="B26">
        <f t="shared" si="0"/>
        <v>19</v>
      </c>
      <c r="C26" t="str">
        <f>"Tâche " &amp; TAB_TACHES[[#This Row],[Tâche]]</f>
        <v>Tâche 19</v>
      </c>
      <c r="D26">
        <v>91</v>
      </c>
      <c r="E26" s="2">
        <f>DEBUT_PROJ+TAB_TACHES[[#This Row],[NbJours]]</f>
        <v>46357</v>
      </c>
      <c r="F26" s="4">
        <f ca="1">TAB_TACHES[[#This Row],[Échéance]]-DATE_JOUR</f>
        <v>53</v>
      </c>
      <c r="G26" s="5" t="s">
        <v>3</v>
      </c>
      <c r="H26">
        <v>1</v>
      </c>
      <c r="I26" t="b" cm="1">
        <f t="array" aca="1" ref="I26" ca="1">EST_PAIR2(TAB_TACHES[[#This Row],[NbJoursRest]])</f>
        <v>0</v>
      </c>
    </row>
    <row r="27" spans="2:9" x14ac:dyDescent="0.35">
      <c r="B27">
        <f t="shared" si="0"/>
        <v>20</v>
      </c>
      <c r="C27" t="str">
        <f>"Tâche " &amp; TAB_TACHES[[#This Row],[Tâche]]</f>
        <v>Tâche 20</v>
      </c>
      <c r="D27">
        <v>163</v>
      </c>
      <c r="E27" s="2">
        <f>DEBUT_PROJ+TAB_TACHES[[#This Row],[NbJours]]</f>
        <v>46429</v>
      </c>
      <c r="F27" s="4">
        <f ca="1">TAB_TACHES[[#This Row],[Échéance]]-DATE_JOUR</f>
        <v>125</v>
      </c>
      <c r="G27" s="5" t="s">
        <v>3</v>
      </c>
      <c r="H27">
        <v>1</v>
      </c>
      <c r="I27" t="b" cm="1">
        <f t="array" aca="1" ref="I27" ca="1">EST_PAIR2(TAB_TACHES[[#This Row],[NbJoursRest]])</f>
        <v>0</v>
      </c>
    </row>
    <row r="28" spans="2:9" x14ac:dyDescent="0.35">
      <c r="B28">
        <f t="shared" si="0"/>
        <v>21</v>
      </c>
      <c r="C28" t="str">
        <f>"Tâche " &amp; TAB_TACHES[[#This Row],[Tâche]]</f>
        <v>Tâche 21</v>
      </c>
      <c r="D28">
        <v>235</v>
      </c>
      <c r="E28" s="2">
        <f>DEBUT_PROJ+TAB_TACHES[[#This Row],[NbJours]]</f>
        <v>46501</v>
      </c>
      <c r="F28" s="4">
        <f ca="1">TAB_TACHES[[#This Row],[Échéance]]-DATE_JOUR</f>
        <v>197</v>
      </c>
      <c r="G28" s="5" t="s">
        <v>2</v>
      </c>
      <c r="H28">
        <v>1</v>
      </c>
      <c r="I28" t="b" cm="1">
        <f t="array" aca="1" ref="I28" ca="1">EST_PAIR2(TAB_TACHES[[#This Row],[NbJoursRest]])</f>
        <v>0</v>
      </c>
    </row>
    <row r="29" spans="2:9" x14ac:dyDescent="0.35">
      <c r="B29">
        <f t="shared" si="0"/>
        <v>22</v>
      </c>
      <c r="C29" t="str">
        <f>"Tâche " &amp; TAB_TACHES[[#This Row],[Tâche]]</f>
        <v>Tâche 22</v>
      </c>
      <c r="D29">
        <v>52</v>
      </c>
      <c r="E29" s="2">
        <f>DEBUT_PROJ+TAB_TACHES[[#This Row],[NbJours]]</f>
        <v>46318</v>
      </c>
      <c r="F29" s="4">
        <f ca="1">TAB_TACHES[[#This Row],[Échéance]]-DATE_JOUR</f>
        <v>14</v>
      </c>
      <c r="G29" s="5" t="s">
        <v>4</v>
      </c>
      <c r="H29">
        <v>6</v>
      </c>
      <c r="I29" t="b" cm="1">
        <f t="array" aca="1" ref="I29" ca="1">EST_PAIR2(TAB_TACHES[[#This Row],[NbJoursRest]])</f>
        <v>1</v>
      </c>
    </row>
    <row r="30" spans="2:9" x14ac:dyDescent="0.35">
      <c r="B30">
        <f t="shared" si="0"/>
        <v>23</v>
      </c>
      <c r="C30" t="str">
        <f>"Tâche " &amp; TAB_TACHES[[#This Row],[Tâche]]</f>
        <v>Tâche 23</v>
      </c>
      <c r="D30">
        <v>237</v>
      </c>
      <c r="E30" s="2">
        <f>DEBUT_PROJ+TAB_TACHES[[#This Row],[NbJours]]</f>
        <v>46503</v>
      </c>
      <c r="F30" s="4">
        <f ca="1">TAB_TACHES[[#This Row],[Échéance]]-DATE_JOUR</f>
        <v>199</v>
      </c>
      <c r="G30" s="5" t="s">
        <v>3</v>
      </c>
      <c r="H30">
        <v>1</v>
      </c>
      <c r="I30" t="b" cm="1">
        <f t="array" aca="1" ref="I30" ca="1">EST_PAIR2(TAB_TACHES[[#This Row],[NbJoursRest]])</f>
        <v>0</v>
      </c>
    </row>
    <row r="31" spans="2:9" x14ac:dyDescent="0.35">
      <c r="B31">
        <f t="shared" si="0"/>
        <v>24</v>
      </c>
      <c r="C31" t="str">
        <f>"Tâche " &amp; TAB_TACHES[[#This Row],[Tâche]]</f>
        <v>Tâche 24</v>
      </c>
      <c r="D31">
        <v>148</v>
      </c>
      <c r="E31" s="2">
        <f>DEBUT_PROJ+TAB_TACHES[[#This Row],[NbJours]]</f>
        <v>46414</v>
      </c>
      <c r="F31" s="4">
        <f ca="1">TAB_TACHES[[#This Row],[Échéance]]-DATE_JOUR</f>
        <v>110</v>
      </c>
      <c r="G31" s="5" t="s">
        <v>4</v>
      </c>
      <c r="H31">
        <v>1</v>
      </c>
      <c r="I31" t="b" cm="1">
        <f t="array" aca="1" ref="I31" ca="1">EST_PAIR2(TAB_TACHES[[#This Row],[NbJoursRest]])</f>
        <v>1</v>
      </c>
    </row>
    <row r="32" spans="2:9" x14ac:dyDescent="0.35">
      <c r="B32">
        <f t="shared" si="0"/>
        <v>25</v>
      </c>
      <c r="C32" t="str">
        <f>"Tâche " &amp; TAB_TACHES[[#This Row],[Tâche]]</f>
        <v>Tâche 25</v>
      </c>
      <c r="D32">
        <v>193</v>
      </c>
      <c r="E32" s="2">
        <f>DEBUT_PROJ+TAB_TACHES[[#This Row],[NbJours]]</f>
        <v>46459</v>
      </c>
      <c r="F32" s="4">
        <f ca="1">TAB_TACHES[[#This Row],[Échéance]]-DATE_JOUR</f>
        <v>155</v>
      </c>
      <c r="G32" s="5" t="s">
        <v>2</v>
      </c>
      <c r="H32">
        <v>1</v>
      </c>
      <c r="I32" t="b" cm="1">
        <f t="array" aca="1" ref="I32" ca="1">EST_PAIR2(TAB_TACHES[[#This Row],[NbJoursRest]])</f>
        <v>0</v>
      </c>
    </row>
    <row r="33" spans="2:9" x14ac:dyDescent="0.35">
      <c r="B33">
        <f t="shared" si="0"/>
        <v>26</v>
      </c>
      <c r="C33" t="str">
        <f>"Tâche " &amp; TAB_TACHES[[#This Row],[Tâche]]</f>
        <v>Tâche 26</v>
      </c>
      <c r="D33">
        <v>138</v>
      </c>
      <c r="E33" s="2">
        <f>DEBUT_PROJ+TAB_TACHES[[#This Row],[NbJours]]</f>
        <v>46404</v>
      </c>
      <c r="F33" s="4">
        <f ca="1">TAB_TACHES[[#This Row],[Échéance]]-DATE_JOUR</f>
        <v>100</v>
      </c>
      <c r="G33" s="5" t="s">
        <v>3</v>
      </c>
      <c r="H33">
        <v>1</v>
      </c>
      <c r="I33" t="b" cm="1">
        <f t="array" aca="1" ref="I33" ca="1">EST_PAIR2(TAB_TACHES[[#This Row],[NbJoursRest]])</f>
        <v>1</v>
      </c>
    </row>
    <row r="34" spans="2:9" x14ac:dyDescent="0.35">
      <c r="B34">
        <f t="shared" si="0"/>
        <v>27</v>
      </c>
      <c r="C34" t="str">
        <f>"Tâche " &amp; TAB_TACHES[[#This Row],[Tâche]]</f>
        <v>Tâche 27</v>
      </c>
      <c r="D34">
        <v>191</v>
      </c>
      <c r="E34" s="2">
        <f>DEBUT_PROJ+TAB_TACHES[[#This Row],[NbJours]]</f>
        <v>46457</v>
      </c>
      <c r="F34" s="4">
        <f ca="1">TAB_TACHES[[#This Row],[Échéance]]-DATE_JOUR</f>
        <v>153</v>
      </c>
      <c r="G34" s="5" t="s">
        <v>4</v>
      </c>
      <c r="H34">
        <v>1</v>
      </c>
      <c r="I34" t="b" cm="1">
        <f t="array" aca="1" ref="I34" ca="1">EST_PAIR2(TAB_TACHES[[#This Row],[NbJoursRest]])</f>
        <v>0</v>
      </c>
    </row>
    <row r="35" spans="2:9" x14ac:dyDescent="0.35">
      <c r="B35">
        <f t="shared" si="0"/>
        <v>28</v>
      </c>
      <c r="C35" t="str">
        <f>"Tâche " &amp; TAB_TACHES[[#This Row],[Tâche]]</f>
        <v>Tâche 28</v>
      </c>
      <c r="D35">
        <v>103</v>
      </c>
      <c r="E35" s="2">
        <f>DEBUT_PROJ+TAB_TACHES[[#This Row],[NbJours]]</f>
        <v>46369</v>
      </c>
      <c r="F35" s="4">
        <f ca="1">TAB_TACHES[[#This Row],[Échéance]]-DATE_JOUR</f>
        <v>65</v>
      </c>
      <c r="G35" s="5" t="s">
        <v>4</v>
      </c>
      <c r="H35">
        <v>1</v>
      </c>
      <c r="I35" t="b" cm="1">
        <f t="array" aca="1" ref="I35" ca="1">EST_PAIR2(TAB_TACHES[[#This Row],[NbJoursRest]])</f>
        <v>0</v>
      </c>
    </row>
    <row r="36" spans="2:9" x14ac:dyDescent="0.35">
      <c r="B36">
        <f t="shared" si="0"/>
        <v>29</v>
      </c>
      <c r="C36" t="str">
        <f>"Tâche " &amp; TAB_TACHES[[#This Row],[Tâche]]</f>
        <v>Tâche 29</v>
      </c>
      <c r="D36">
        <v>166</v>
      </c>
      <c r="E36" s="2">
        <f>DEBUT_PROJ+TAB_TACHES[[#This Row],[NbJours]]</f>
        <v>46432</v>
      </c>
      <c r="F36" s="4">
        <f ca="1">TAB_TACHES[[#This Row],[Échéance]]-DATE_JOUR</f>
        <v>128</v>
      </c>
      <c r="G36" s="5" t="s">
        <v>4</v>
      </c>
      <c r="H36">
        <v>1</v>
      </c>
      <c r="I36" t="b" cm="1">
        <f t="array" aca="1" ref="I36" ca="1">EST_PAIR2(TAB_TACHES[[#This Row],[NbJoursRest]])</f>
        <v>1</v>
      </c>
    </row>
    <row r="37" spans="2:9" x14ac:dyDescent="0.35">
      <c r="B37">
        <f t="shared" si="0"/>
        <v>30</v>
      </c>
      <c r="C37" t="str">
        <f>"Tâche " &amp; TAB_TACHES[[#This Row],[Tâche]]</f>
        <v>Tâche 30</v>
      </c>
      <c r="D37">
        <v>65</v>
      </c>
      <c r="E37" s="2">
        <f>DEBUT_PROJ+TAB_TACHES[[#This Row],[NbJours]]</f>
        <v>46331</v>
      </c>
      <c r="F37" s="4">
        <f ca="1">TAB_TACHES[[#This Row],[Échéance]]-DATE_JOUR</f>
        <v>27</v>
      </c>
      <c r="G37" s="5" t="s">
        <v>2</v>
      </c>
      <c r="H37">
        <v>1</v>
      </c>
      <c r="I37" t="b" cm="1">
        <f t="array" aca="1" ref="I37" ca="1">EST_PAIR2(TAB_TACHES[[#This Row],[NbJoursRest]])</f>
        <v>0</v>
      </c>
    </row>
    <row r="38" spans="2:9" x14ac:dyDescent="0.35">
      <c r="B38">
        <f t="shared" si="0"/>
        <v>31</v>
      </c>
      <c r="C38" s="5" t="str">
        <f>"Tâche " &amp; TAB_TACHES[[#This Row],[Tâche]]</f>
        <v>Tâche 31</v>
      </c>
      <c r="D38">
        <v>32</v>
      </c>
      <c r="E38" s="1">
        <f>DEBUT_PROJ+TAB_TACHES[[#This Row],[NbJours]]</f>
        <v>46298</v>
      </c>
      <c r="F38" s="4">
        <f ca="1">TAB_TACHES[[#This Row],[Échéance]]-DATE_JOUR</f>
        <v>-6</v>
      </c>
      <c r="G38" s="5" t="s">
        <v>3</v>
      </c>
      <c r="H38">
        <v>1</v>
      </c>
      <c r="I38" t="b" cm="1">
        <f t="array" aca="1" ref="I38" ca="1">EST_PAIR2(TAB_TACHES[[#This Row],[NbJoursRest]])</f>
        <v>1</v>
      </c>
    </row>
    <row r="39" spans="2:9" x14ac:dyDescent="0.35">
      <c r="B39">
        <f t="shared" si="0"/>
        <v>32</v>
      </c>
      <c r="C39" s="5" t="str">
        <f>"Tâche " &amp; TAB_TACHES[[#This Row],[Tâche]]</f>
        <v>Tâche 32</v>
      </c>
      <c r="D39">
        <v>12</v>
      </c>
      <c r="E39" s="1">
        <f>DEBUT_PROJ+TAB_TACHES[[#This Row],[NbJours]]</f>
        <v>46278</v>
      </c>
      <c r="F39" s="4">
        <f ca="1">TAB_TACHES[[#This Row],[Échéance]]-DATE_JOUR</f>
        <v>-26</v>
      </c>
      <c r="G39" s="5" t="s">
        <v>4</v>
      </c>
      <c r="H39">
        <v>1</v>
      </c>
      <c r="I39" t="b" cm="1">
        <f t="array" aca="1" ref="I39" ca="1">EST_PAIR2(TAB_TACHES[[#This Row],[NbJoursRest]])</f>
        <v>1</v>
      </c>
    </row>
    <row r="40" spans="2:9" x14ac:dyDescent="0.35">
      <c r="B40">
        <f t="shared" si="0"/>
        <v>33</v>
      </c>
      <c r="C40" s="5" t="str">
        <f>"Tâche " &amp; TAB_TACHES[[#This Row],[Tâche]]</f>
        <v>Tâche 33</v>
      </c>
      <c r="D40">
        <v>122</v>
      </c>
      <c r="E40" s="1">
        <f>DEBUT_PROJ+TAB_TACHES[[#This Row],[NbJours]]</f>
        <v>46388</v>
      </c>
      <c r="F40" s="4">
        <f ca="1">TAB_TACHES[[#This Row],[Échéance]]-DATE_JOUR</f>
        <v>84</v>
      </c>
      <c r="G40" s="5" t="s">
        <v>4</v>
      </c>
      <c r="H40">
        <v>1</v>
      </c>
      <c r="I40" t="b" cm="1">
        <f t="array" aca="1" ref="I40" ca="1">EST_PAIR2(TAB_TACHES[[#This Row],[NbJoursRest]])</f>
        <v>1</v>
      </c>
    </row>
    <row r="41" spans="2:9" x14ac:dyDescent="0.35">
      <c r="B41">
        <f t="shared" si="0"/>
        <v>34</v>
      </c>
      <c r="C41" s="5" t="str">
        <f>"Tâche " &amp; TAB_TACHES[[#This Row],[Tâche]]</f>
        <v>Tâche 34</v>
      </c>
      <c r="D41">
        <v>163</v>
      </c>
      <c r="E41" s="1">
        <f>DEBUT_PROJ+TAB_TACHES[[#This Row],[NbJours]]</f>
        <v>46429</v>
      </c>
      <c r="F41" s="4">
        <f ca="1">TAB_TACHES[[#This Row],[Échéance]]-DATE_JOUR</f>
        <v>125</v>
      </c>
      <c r="G41" s="5" t="s">
        <v>2</v>
      </c>
      <c r="H41">
        <v>1</v>
      </c>
      <c r="I41" t="b" cm="1">
        <f t="array" aca="1" ref="I41" ca="1">EST_PAIR2(TAB_TACHES[[#This Row],[NbJoursRest]])</f>
        <v>0</v>
      </c>
    </row>
    <row r="42" spans="2:9" x14ac:dyDescent="0.35">
      <c r="B42">
        <f t="shared" si="0"/>
        <v>35</v>
      </c>
      <c r="C42" s="5" t="str">
        <f>"Tâche " &amp; TAB_TACHES[[#This Row],[Tâche]]</f>
        <v>Tâche 35</v>
      </c>
      <c r="E42" s="1">
        <f>DEBUT_PROJ+TAB_TACHES[[#This Row],[NbJours]]</f>
        <v>46266</v>
      </c>
      <c r="F42" s="4">
        <f ca="1">TAB_TACHES[[#This Row],[Échéance]]-DATE_JOUR</f>
        <v>-38</v>
      </c>
      <c r="G42" s="5" t="s">
        <v>3</v>
      </c>
      <c r="H42">
        <v>1</v>
      </c>
      <c r="I42" t="b" cm="1">
        <f t="array" aca="1" ref="I42" ca="1">EST_PAIR2(TAB_TACHES[[#This Row],[NbJoursRest]])</f>
        <v>1</v>
      </c>
    </row>
    <row r="43" spans="2:9" x14ac:dyDescent="0.35">
      <c r="B43">
        <f t="shared" si="0"/>
        <v>36</v>
      </c>
      <c r="C43" s="5" t="str">
        <f>"Tâche " &amp; TAB_TACHES[[#This Row],[Tâche]]</f>
        <v>Tâche 36</v>
      </c>
      <c r="D43">
        <v>170</v>
      </c>
      <c r="E43" s="1">
        <f>DEBUT_PROJ+TAB_TACHES[[#This Row],[NbJours]]</f>
        <v>46436</v>
      </c>
      <c r="F43" s="4">
        <f ca="1">TAB_TACHES[[#This Row],[Échéance]]-DATE_JOUR</f>
        <v>132</v>
      </c>
      <c r="G43" s="5" t="s">
        <v>4</v>
      </c>
      <c r="H43">
        <v>1</v>
      </c>
      <c r="I43" t="b" cm="1">
        <f t="array" aca="1" ref="I43" ca="1">EST_PAIR2(TAB_TACHES[[#This Row],[NbJoursRest]])</f>
        <v>1</v>
      </c>
    </row>
    <row r="44" spans="2:9" x14ac:dyDescent="0.35">
      <c r="B44">
        <f t="shared" si="0"/>
        <v>37</v>
      </c>
      <c r="C44" s="5" t="str">
        <f>"Tâche " &amp; TAB_TACHES[[#This Row],[Tâche]]</f>
        <v>Tâche 37</v>
      </c>
      <c r="E44" s="1">
        <f>DEBUT_PROJ+TAB_TACHES[[#This Row],[NbJours]]</f>
        <v>46266</v>
      </c>
      <c r="F44" s="4">
        <f ca="1">TAB_TACHES[[#This Row],[Échéance]]-DATE_JOUR</f>
        <v>-38</v>
      </c>
      <c r="G44" s="5" t="s">
        <v>2</v>
      </c>
      <c r="H44">
        <v>1</v>
      </c>
      <c r="I44" t="b" cm="1">
        <f t="array" aca="1" ref="I44" ca="1">EST_PAIR2(TAB_TACHES[[#This Row],[NbJoursRest]])</f>
        <v>1</v>
      </c>
    </row>
    <row r="45" spans="2:9" x14ac:dyDescent="0.35">
      <c r="B45">
        <f t="shared" si="0"/>
        <v>38</v>
      </c>
      <c r="C45" s="5" t="str">
        <f>"Tâche " &amp; TAB_TACHES[[#This Row],[Tâche]]</f>
        <v>Tâche 38</v>
      </c>
      <c r="E45" s="1">
        <f>DEBUT_PROJ+TAB_TACHES[[#This Row],[NbJours]]</f>
        <v>46266</v>
      </c>
      <c r="F45" s="4">
        <f ca="1">TAB_TACHES[[#This Row],[Échéance]]-DATE_JOUR</f>
        <v>-38</v>
      </c>
      <c r="G45" s="5" t="s">
        <v>3</v>
      </c>
      <c r="H45">
        <v>1</v>
      </c>
      <c r="I45" t="b" cm="1">
        <f t="array" aca="1" ref="I45" ca="1">EST_PAIR2(TAB_TACHES[[#This Row],[NbJoursRest]])</f>
        <v>1</v>
      </c>
    </row>
    <row r="46" spans="2:9" x14ac:dyDescent="0.35">
      <c r="B46">
        <f t="shared" si="0"/>
        <v>39</v>
      </c>
      <c r="C46" s="5" t="str">
        <f>"Tâche " &amp; TAB_TACHES[[#This Row],[Tâche]]</f>
        <v>Tâche 39</v>
      </c>
      <c r="E46" s="1">
        <f>DEBUT_PROJ+TAB_TACHES[[#This Row],[NbJours]]</f>
        <v>46266</v>
      </c>
      <c r="F46" s="4">
        <f ca="1">TAB_TACHES[[#This Row],[Échéance]]-DATE_JOUR</f>
        <v>-38</v>
      </c>
      <c r="G46" s="5" t="s">
        <v>4</v>
      </c>
      <c r="H46">
        <v>1</v>
      </c>
      <c r="I46" t="b" cm="1">
        <f t="array" aca="1" ref="I46" ca="1">EST_PAIR2(TAB_TACHES[[#This Row],[NbJoursRest]])</f>
        <v>1</v>
      </c>
    </row>
    <row r="47" spans="2:9" x14ac:dyDescent="0.35">
      <c r="B47">
        <f t="shared" si="0"/>
        <v>40</v>
      </c>
      <c r="C47" s="5" t="str">
        <f>"Tâche " &amp; TAB_TACHES[[#This Row],[Tâche]]</f>
        <v>Tâche 40</v>
      </c>
      <c r="E47" s="1">
        <f>DEBUT_PROJ+TAB_TACHES[[#This Row],[NbJours]]</f>
        <v>46266</v>
      </c>
      <c r="F47" s="4">
        <f ca="1">TAB_TACHES[[#This Row],[Échéance]]-DATE_JOUR</f>
        <v>-38</v>
      </c>
      <c r="G47" s="5" t="s">
        <v>4</v>
      </c>
      <c r="H47">
        <v>1</v>
      </c>
      <c r="I47" t="b" cm="1">
        <f t="array" aca="1" ref="I47" ca="1">EST_PAIR2(TAB_TACHES[[#This Row],[NbJoursRest]])</f>
        <v>1</v>
      </c>
    </row>
  </sheetData>
  <phoneticPr fontId="2" type="noConversion"/>
  <conditionalFormatting sqref="G8:G47">
    <cfRule type="expression" dxfId="1" priority="1">
      <formula>EXACT($G8,"A")</formula>
    </cfRule>
    <cfRule type="expression" dxfId="0" priority="2">
      <formula>$F8&lt;0</formula>
    </cfRule>
  </conditionalFormatting>
  <dataValidations count="7">
    <dataValidation type="custom" allowBlank="1" showInputMessage="1" showErrorMessage="1" sqref="I9:I47" xr:uid="{D520CA04-5511-4E39-8981-A7D95C742820}">
      <formula1>MOD(,2)=0</formula1>
    </dataValidation>
    <dataValidation type="custom" allowBlank="1" showInputMessage="1" showErrorMessage="1" sqref="I8" xr:uid="{6E5C73DF-155B-4A49-83F2-F2655DE8C0E8}">
      <formula1>EST_PAIR2($H3)</formula1>
    </dataValidation>
    <dataValidation type="custom" allowBlank="1" showInputMessage="1" showErrorMessage="1" sqref="H9:H47" xr:uid="{91DA2D98-B627-4861-8C90-512C83F39E5D}">
      <formula1>EST_PAIR2($H9)</formula1>
    </dataValidation>
    <dataValidation type="custom" allowBlank="1" showInputMessage="1" showErrorMessage="1" sqref="H3" xr:uid="{7235AFDE-7A6C-4CC8-8650-C289085A2A1E}">
      <formula1>"LAMBDA(VAL;MOD(VAL;2)=0)"</formula1>
    </dataValidation>
    <dataValidation type="custom" allowBlank="1" showInputMessage="1" showErrorMessage="1" sqref="H8" xr:uid="{55E65F9C-0DB2-4922-9C0C-D1D7EF6B5971}">
      <formula1>MOD(,2)=0</formula1>
    </dataValidation>
    <dataValidation type="list" errorStyle="information" allowBlank="1" showInputMessage="1" showErrorMessage="1" sqref="G8:G47" xr:uid="{A2F089EB-992D-49FA-A592-71D1DE23DC6E}">
      <formula1>VALID_ABC</formula1>
    </dataValidation>
    <dataValidation type="list" allowBlank="1" showInputMessage="1" showErrorMessage="1" sqref="F3:F5" xr:uid="{32AFDABF-A870-424D-B210-5945967815E7}">
      <formula1>VALID_ABC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</vt:i4>
      </vt:variant>
    </vt:vector>
  </HeadingPairs>
  <TitlesOfParts>
    <vt:vector size="5" baseType="lpstr">
      <vt:lpstr>FormCondEtValid</vt:lpstr>
      <vt:lpstr>DATE_JOUR</vt:lpstr>
      <vt:lpstr>DEBUT_PROJ</vt:lpstr>
      <vt:lpstr>FIN_PROJ</vt:lpstr>
      <vt:lpstr>VALID_ABC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MUNEROT Pascal - externe</dc:creator>
  <cp:lastModifiedBy>MUNEROT Pascal - externe</cp:lastModifiedBy>
  <dcterms:created xsi:type="dcterms:W3CDTF">2026-10-09T11:58:13Z</dcterms:created>
  <dcterms:modified xsi:type="dcterms:W3CDTF">2026-10-09T14:54:16Z</dcterms:modified>
</cp:coreProperties>
</file>